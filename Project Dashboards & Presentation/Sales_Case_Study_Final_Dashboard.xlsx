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Data'!$A$2:$A$13</f>
            </numRef>
          </cat>
          <val>
            <numRef>
              <f>'Dashboard Data'!$B$2:$B$13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Data'!$A$2:$A$13</f>
            </numRef>
          </cat>
          <val>
            <numRef>
              <f>'Dashboard Data'!$E$2:$E$13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cost of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Data'!$A$2:$A$13</f>
            </numRef>
          </cat>
          <val>
            <numRef>
              <f>'Dashboard Data'!$B$2:$B$13</f>
            </numRef>
          </val>
        </ser>
        <ser>
          <idx val="1"/>
          <order val="1"/>
          <tx>
            <strRef>
              <f>'Dashboard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Data'!$A$2:$A$13</f>
            </numRef>
          </cat>
          <val>
            <numRef>
              <f>'Dashboard Data'!$C$2:$C$13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sold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Data'!$A$2:$A$13</f>
            </numRef>
          </cat>
          <val>
            <numRef>
              <f>'Dashboard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margin by month (%)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Data'!$A$2:$A$13</f>
            </numRef>
          </cat>
          <val>
            <numRef>
              <f>'Dashboard Data'!$G$2:$G$13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Data'!$A$2:$A$13</f>
            </numRef>
          </cat>
          <val>
            <numRef>
              <f>'Dashboard Data'!$F$2:$F$13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contribution by month</a:t>
            </a:r>
          </a:p>
        </rich>
      </tx>
    </title>
    <plotArea>
      <pieChart>
        <varyColors val="1"/>
        <ser>
          <idx val="0"/>
          <order val="0"/>
          <tx>
            <strRef>
              <f>'Dashboard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Data'!$A$2:$A$13</f>
            </numRef>
          </cat>
          <val>
            <numRef>
              <f>'Dashboard Data'!$B$2:$B$13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36</row>
      <rowOff>0</rowOff>
    </from>
    <ext cx="39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36</row>
      <rowOff>0</rowOff>
    </from>
    <ext cx="39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53</row>
      <rowOff>0</rowOff>
    </from>
    <ext cx="360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Name</t>
        </is>
      </c>
      <c r="B1" s="1" t="inlineStr">
        <is>
          <t>Total Sales</t>
        </is>
      </c>
      <c r="C1" s="1" t="inlineStr">
        <is>
          <t>Total Cost Of Sales</t>
        </is>
      </c>
      <c r="D1" s="1" t="inlineStr">
        <is>
          <t>Total Quantity Sold</t>
        </is>
      </c>
      <c r="E1" s="1" t="inlineStr">
        <is>
          <t>Profit</t>
        </is>
      </c>
      <c r="F1" s="1" t="inlineStr">
        <is>
          <t>Average Sales</t>
        </is>
      </c>
      <c r="G1" s="1" t="inlineStr">
        <is>
          <t>Profit Margin %</t>
        </is>
      </c>
    </row>
    <row r="2">
      <c r="A2" t="inlineStr">
        <is>
          <t>January</t>
        </is>
      </c>
      <c r="B2" t="n">
        <v>13107462.50600652</v>
      </c>
      <c r="C2" t="n">
        <v>13504323.02524975</v>
      </c>
      <c r="D2" t="n">
        <v>362266</v>
      </c>
      <c r="E2" t="n">
        <v>-396860.5192432264</v>
      </c>
      <c r="F2" t="n">
        <v>140940.4570538336</v>
      </c>
      <c r="G2" t="n">
        <v>-3.027744836663575</v>
      </c>
    </row>
    <row r="3">
      <c r="A3" t="inlineStr">
        <is>
          <t>February</t>
        </is>
      </c>
      <c r="B3" t="n">
        <v>15573874.37660683</v>
      </c>
      <c r="C3" t="n">
        <v>15954538.47247074</v>
      </c>
      <c r="D3" t="n">
        <v>438778</v>
      </c>
      <c r="E3" t="n">
        <v>-380664.0958639091</v>
      </c>
      <c r="F3" t="n">
        <v>183395.1045211174</v>
      </c>
      <c r="G3" t="n">
        <v>-2.444247890144126</v>
      </c>
    </row>
    <row r="4">
      <c r="A4" t="inlineStr">
        <is>
          <t>March</t>
        </is>
      </c>
      <c r="B4" t="n">
        <v>16500726.3345788</v>
      </c>
      <c r="C4" t="n">
        <v>16933086.23075023</v>
      </c>
      <c r="D4" t="n">
        <v>463694</v>
      </c>
      <c r="E4" t="n">
        <v>-432359.8961714298</v>
      </c>
      <c r="F4" t="n">
        <v>177427.1648879441</v>
      </c>
      <c r="G4" t="n">
        <v>-2.62024766307032</v>
      </c>
    </row>
    <row r="5">
      <c r="A5" t="inlineStr">
        <is>
          <t>April</t>
        </is>
      </c>
      <c r="B5" t="n">
        <v>19056617.41778349</v>
      </c>
      <c r="C5" t="n">
        <v>19894049.1947845</v>
      </c>
      <c r="D5" t="n">
        <v>534028</v>
      </c>
      <c r="E5" t="n">
        <v>-837431.7770010161</v>
      </c>
      <c r="F5" t="n">
        <v>211740.1935309276</v>
      </c>
      <c r="G5" t="n">
        <v>-4.39444083197856</v>
      </c>
    </row>
    <row r="6">
      <c r="A6" t="inlineStr">
        <is>
          <t>May</t>
        </is>
      </c>
      <c r="B6" t="n">
        <v>21249505.249746</v>
      </c>
      <c r="C6" t="n">
        <v>22329336.94789314</v>
      </c>
      <c r="D6" t="n">
        <v>602866</v>
      </c>
      <c r="E6" t="n">
        <v>-1079831.698147141</v>
      </c>
      <c r="F6" t="n">
        <v>228489.3037607097</v>
      </c>
      <c r="G6" t="n">
        <v>-5.081679245967615</v>
      </c>
    </row>
    <row r="7">
      <c r="A7" t="inlineStr">
        <is>
          <t>June</t>
        </is>
      </c>
      <c r="B7" t="n">
        <v>18560186.90827405</v>
      </c>
      <c r="C7" t="n">
        <v>19335118.65716915</v>
      </c>
      <c r="D7" t="n">
        <v>532907</v>
      </c>
      <c r="E7" t="n">
        <v>-774931.7488951024</v>
      </c>
      <c r="F7" t="n">
        <v>206224.2989808228</v>
      </c>
      <c r="G7" t="n">
        <v>-4.175236772802333</v>
      </c>
    </row>
    <row r="8">
      <c r="A8" t="inlineStr">
        <is>
          <t>July</t>
        </is>
      </c>
      <c r="B8" t="n">
        <v>11936228.62638132</v>
      </c>
      <c r="C8" t="n">
        <v>12102480.73953162</v>
      </c>
      <c r="D8" t="n">
        <v>333702</v>
      </c>
      <c r="E8" t="n">
        <v>-166252.1131503059</v>
      </c>
      <c r="F8" t="n">
        <v>128346.5443696916</v>
      </c>
      <c r="G8" t="n">
        <v>-1.392836199390965</v>
      </c>
    </row>
    <row r="9">
      <c r="A9" t="inlineStr">
        <is>
          <t>August</t>
        </is>
      </c>
      <c r="B9" t="n">
        <v>18288376.10964131</v>
      </c>
      <c r="C9" t="n">
        <v>19215147.41462187</v>
      </c>
      <c r="D9" t="n">
        <v>543092</v>
      </c>
      <c r="E9" t="n">
        <v>-926771.3049805558</v>
      </c>
      <c r="F9" t="n">
        <v>196649.2054800141</v>
      </c>
      <c r="G9" t="n">
        <v>-5.067542899514069</v>
      </c>
    </row>
    <row r="10">
      <c r="A10" t="inlineStr">
        <is>
          <t>September</t>
        </is>
      </c>
      <c r="B10" t="n">
        <v>15572895.04601808</v>
      </c>
      <c r="C10" t="n">
        <v>16428252.02166593</v>
      </c>
      <c r="D10" t="n">
        <v>461251</v>
      </c>
      <c r="E10" t="n">
        <v>-855356.9756478484</v>
      </c>
      <c r="F10" t="n">
        <v>173032.1671779787</v>
      </c>
      <c r="G10" t="n">
        <v>-5.492600914089891</v>
      </c>
    </row>
    <row r="11">
      <c r="A11" t="inlineStr">
        <is>
          <t>October</t>
        </is>
      </c>
      <c r="B11" t="n">
        <v>13082831.16343457</v>
      </c>
      <c r="C11" t="n">
        <v>13323166.4525907</v>
      </c>
      <c r="D11" t="n">
        <v>363704</v>
      </c>
      <c r="E11" t="n">
        <v>-240335.2891561364</v>
      </c>
      <c r="F11" t="n">
        <v>140675.6039078986</v>
      </c>
      <c r="G11" t="n">
        <v>-1.837028133695203</v>
      </c>
    </row>
    <row r="12">
      <c r="A12" t="inlineStr">
        <is>
          <t>November</t>
        </is>
      </c>
      <c r="B12" t="n">
        <v>11020532.08910772</v>
      </c>
      <c r="C12" t="n">
        <v>11380431.16845034</v>
      </c>
      <c r="D12" t="n">
        <v>297544</v>
      </c>
      <c r="E12" t="n">
        <v>-359899.0793426237</v>
      </c>
      <c r="F12" t="n">
        <v>140446.4802104528</v>
      </c>
      <c r="G12" t="n">
        <v>-3.26571418178923</v>
      </c>
    </row>
    <row r="13">
      <c r="A13" t="inlineStr">
        <is>
          <t>December</t>
        </is>
      </c>
      <c r="B13" t="n">
        <v>12960592.42890436</v>
      </c>
      <c r="C13" t="n">
        <v>13626179.12133106</v>
      </c>
      <c r="D13" t="n">
        <v>346040</v>
      </c>
      <c r="E13" t="n">
        <v>-665586.6924267067</v>
      </c>
      <c r="F13" t="n">
        <v>221104.3278407869</v>
      </c>
      <c r="G13" t="n">
        <v>-5.1354650343169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case study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2026-07-31T14:51:43Z</dcterms:created>
  <dcterms:modified xmlns:dcterms="http://purl.org/dc/terms/" xmlns:xsi="http://www.w3.org/2001/XMLSchema-instance" xsi:type="dcterms:W3CDTF">2026-07-31T14:51:43Z</dcterms:modified>
</cp:coreProperties>
</file>